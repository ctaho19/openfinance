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Debt Detail" sheetId="2" state="visible" r:id="rId2"/>
    <sheet xmlns:r="http://schemas.openxmlformats.org/officeDocument/2006/relationships" name="Every Dollar Budget" sheetId="3" state="visible" r:id="rId3"/>
    <sheet xmlns:r="http://schemas.openxmlformats.org/officeDocument/2006/relationships" name="2026 Projections" sheetId="4" state="visible" r:id="rId4"/>
    <sheet xmlns:r="http://schemas.openxmlformats.org/officeDocument/2006/relationships" name="Action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color rgb="000000FF"/>
    </font>
    <font>
      <b val="1"/>
      <color rgb="00FFFFFF"/>
    </font>
    <font>
      <b val="1"/>
    </font>
    <font>
      <b val="1"/>
      <color rgb="00008000"/>
    </font>
    <font>
      <b val="1"/>
      <sz val="14"/>
    </font>
    <font>
      <b val="1"/>
      <color rgb="001F4E79"/>
      <sz val="14"/>
    </font>
    <font>
      <i val="1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164" fontId="0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4" fontId="7" fillId="5" borderId="0" pivotButton="0" quotePrefix="0" xfId="0"/>
    <xf numFmtId="0" fontId="8" fillId="0" borderId="0" pivotButton="0" quotePrefix="0" xfId="0"/>
    <xf numFmtId="0" fontId="0" fillId="6" borderId="0" pivotButton="0" quotePrefix="0" xfId="0"/>
    <xf numFmtId="10" fontId="0" fillId="0" borderId="0" pivotButton="0" quotePrefix="0" xfId="0"/>
    <xf numFmtId="164" fontId="0" fillId="4" borderId="0" pivotButton="0" quotePrefix="0" xfId="0"/>
    <xf numFmtId="10" fontId="0" fillId="4" borderId="0" pivotButton="0" quotePrefix="0" xfId="0"/>
    <xf numFmtId="0" fontId="9" fillId="0" borderId="0" pivotButton="0" quotePrefix="0" xfId="0"/>
    <xf numFmtId="164" fontId="0" fillId="5" borderId="0" pivotButton="0" quotePrefix="0" xfId="0"/>
    <xf numFmtId="0" fontId="5" fillId="4" borderId="0" pivotButton="0" quotePrefix="0" xfId="0"/>
    <xf numFmtId="0" fontId="10" fillId="0" borderId="0" pivotButton="0" quotePrefix="0" xfId="0"/>
    <xf numFmtId="0" fontId="5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FINANCIAL SNAPSHOT - DECEMBER 27, 2025</t>
        </is>
      </c>
    </row>
    <row r="3">
      <c r="A3" s="2" t="inlineStr">
        <is>
          <t>CURRENT REALITY</t>
        </is>
      </c>
    </row>
    <row r="4">
      <c r="A4" t="inlineStr">
        <is>
          <t>Cash on Hand (as of today)</t>
        </is>
      </c>
      <c r="B4" s="3" t="n">
        <v>250</v>
      </c>
    </row>
    <row r="5">
      <c r="A5" t="inlineStr">
        <is>
          <t>Net Paycheck (biweekly)</t>
        </is>
      </c>
      <c r="B5" s="3" t="n">
        <v>3049</v>
      </c>
    </row>
    <row r="6">
      <c r="A6" t="inlineStr">
        <is>
          <t>Monthly Income (approx)</t>
        </is>
      </c>
      <c r="B6" s="4">
        <f>B5*26/12</f>
        <v/>
      </c>
    </row>
    <row r="7">
      <c r="A7" t="inlineStr">
        <is>
          <t>Annual Income</t>
        </is>
      </c>
      <c r="B7" s="4">
        <f>B5*26</f>
        <v/>
      </c>
    </row>
    <row r="9">
      <c r="A9" s="2" t="inlineStr">
        <is>
          <t>TOTAL DEBT BREAKDOWN</t>
        </is>
      </c>
    </row>
    <row r="10">
      <c r="A10" s="5" t="inlineStr">
        <is>
          <t>Debt Category</t>
        </is>
      </c>
      <c r="B10" s="5" t="inlineStr">
        <is>
          <t>Balance</t>
        </is>
      </c>
      <c r="C10" s="5" t="inlineStr">
        <is>
          <t>Min Monthly</t>
        </is>
      </c>
      <c r="D10" s="5" t="inlineStr">
        <is>
          <t>Notes</t>
        </is>
      </c>
    </row>
    <row r="11">
      <c r="A11" t="inlineStr">
        <is>
          <t>Credit Cards (HIGH PRIORITY)</t>
        </is>
      </c>
      <c r="B11" s="4" t="n">
        <v>15840.59</v>
      </c>
      <c r="C11" s="4" t="n">
        <v>659.98</v>
      </c>
      <c r="D11" t="inlineStr">
        <is>
          <t>24-30% APR - Pay these FIRST</t>
        </is>
      </c>
    </row>
    <row r="12">
      <c r="A12" s="6" t="inlineStr">
        <is>
          <t>Auto Loans</t>
        </is>
      </c>
      <c r="B12" s="4" t="n">
        <v>20364.4</v>
      </c>
      <c r="C12" s="4" t="n">
        <v>638.9</v>
      </c>
      <c r="D12" t="inlineStr">
        <is>
          <t>BMW is PAST DUE - $1,204 behind</t>
        </is>
      </c>
    </row>
    <row r="13">
      <c r="A13" t="inlineStr">
        <is>
          <t>Student Loans</t>
        </is>
      </c>
      <c r="B13" s="4" t="n">
        <v>39666.03</v>
      </c>
      <c r="C13" s="4" t="n">
        <v>528.9299999999999</v>
      </c>
      <c r="D13" t="inlineStr">
        <is>
          <t>Nelnet deferred until Feb 2026</t>
        </is>
      </c>
    </row>
    <row r="14">
      <c r="A14" t="inlineStr">
        <is>
          <t>BNPL (Buy Now Pay Later)</t>
        </is>
      </c>
      <c r="B14" s="4" t="n">
        <v>6237.85</v>
      </c>
      <c r="C14" s="4" t="n">
        <v>2154.84</v>
      </c>
      <c r="D14" t="inlineStr">
        <is>
          <t>Self-liquidating by ~Oct 2026</t>
        </is>
      </c>
    </row>
    <row r="15">
      <c r="A15" s="7" t="inlineStr">
        <is>
          <t>TOTAL DEBT</t>
        </is>
      </c>
      <c r="B15" s="8">
        <f>SUM(B11:B14)</f>
        <v/>
      </c>
      <c r="C15" s="8">
        <f>SUM(C11:C14)</f>
        <v/>
      </c>
    </row>
    <row r="17">
      <c r="A17" s="2" t="inlineStr">
        <is>
          <t>MONTHLY CASH FLOW</t>
        </is>
      </c>
    </row>
    <row r="18">
      <c r="A18" t="inlineStr">
        <is>
          <t>Monthly Income</t>
        </is>
      </c>
      <c r="B18" s="4">
        <f>B6</f>
        <v/>
      </c>
    </row>
    <row r="19">
      <c r="A19" t="inlineStr">
        <is>
          <t>(-) Fixed Bills (Insurance, Subscriptions)</t>
        </is>
      </c>
      <c r="B19" s="3" t="n">
        <v>-287.97</v>
      </c>
    </row>
    <row r="20">
      <c r="A20" t="inlineStr">
        <is>
          <t>(-) Debt Minimum Payments</t>
        </is>
      </c>
      <c r="B20" s="4">
        <f>-C15</f>
        <v/>
      </c>
    </row>
    <row r="21">
      <c r="A21">
        <f> Available for Spending/Savings/Extra Debt</f>
        <v/>
      </c>
      <c r="B21" s="9">
        <f>B18+B19+B20</f>
        <v/>
      </c>
    </row>
    <row r="23">
      <c r="A23" s="2" t="inlineStr">
        <is>
          <t>ESTIMATED LIVING EXPENSES</t>
        </is>
      </c>
    </row>
    <row r="24">
      <c r="A24" t="inlineStr">
        <is>
          <t>Food/Groceries</t>
        </is>
      </c>
      <c r="B24" s="3" t="n">
        <v>400</v>
      </c>
    </row>
    <row r="25">
      <c r="A25" t="inlineStr">
        <is>
          <t>Gas/Transportation</t>
        </is>
      </c>
      <c r="B25" s="3" t="n">
        <v>200</v>
      </c>
    </row>
    <row r="26">
      <c r="A26" t="inlineStr">
        <is>
          <t>Personal/Misc</t>
        </is>
      </c>
      <c r="B26" s="3" t="n">
        <v>150</v>
      </c>
    </row>
    <row r="27">
      <c r="A27" t="inlineStr">
        <is>
          <t>Total Variable Spending</t>
        </is>
      </c>
      <c r="B27" s="4">
        <f>SUM(B24:B26)</f>
        <v/>
      </c>
    </row>
    <row r="29">
      <c r="A29" s="7" t="inlineStr">
        <is>
          <t>TRUE MONTHLY SURPLUS FOR DEBT ATTACK</t>
        </is>
      </c>
      <c r="B29" s="10">
        <f>B21-B27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15" customWidth="1" min="4" max="4"/>
    <col width="12" customWidth="1" min="5" max="5"/>
    <col width="20" customWidth="1" min="6" max="6"/>
    <col width="15" customWidth="1" min="7" max="7"/>
  </cols>
  <sheetData>
    <row r="1">
      <c r="A1" s="11" t="inlineStr">
        <is>
          <t>COMPLETE DEBT INVENTORY - Sorted by Interest Rate (Avalanche Method)</t>
        </is>
      </c>
    </row>
    <row r="3">
      <c r="A3" s="5" t="inlineStr">
        <is>
          <t>Account Name</t>
        </is>
      </c>
      <c r="B3" s="5" t="inlineStr">
        <is>
          <t>Balance</t>
        </is>
      </c>
      <c r="C3" s="5" t="inlineStr">
        <is>
          <t>APR %</t>
        </is>
      </c>
      <c r="D3" s="5" t="inlineStr">
        <is>
          <t>Min Payment</t>
        </is>
      </c>
      <c r="E3" s="5" t="inlineStr">
        <is>
          <t>Due Day</t>
        </is>
      </c>
      <c r="F3" s="5" t="inlineStr">
        <is>
          <t>Status</t>
        </is>
      </c>
      <c r="G3" s="5" t="inlineStr">
        <is>
          <t>Priority</t>
        </is>
      </c>
    </row>
    <row r="4">
      <c r="A4" s="12" t="inlineStr">
        <is>
          <t>Best Buy Credit Card</t>
        </is>
      </c>
      <c r="B4" s="4" t="n">
        <v>6352.18</v>
      </c>
      <c r="C4" s="13" t="n">
        <v>0.2999</v>
      </c>
      <c r="D4" s="4" t="n">
        <v>230</v>
      </c>
      <c r="E4" t="n">
        <v>8</v>
      </c>
      <c r="F4" t="inlineStr">
        <is>
          <t>CURRENT</t>
        </is>
      </c>
      <c r="G4" t="n">
        <v>1</v>
      </c>
    </row>
    <row r="5">
      <c r="A5" s="12" t="inlineStr">
        <is>
          <t>Bank of America BankAmericacard</t>
        </is>
      </c>
      <c r="B5" s="4" t="n">
        <v>5022.6</v>
      </c>
      <c r="C5" s="13" t="n">
        <v>0.2499</v>
      </c>
      <c r="D5" s="4" t="n">
        <v>239.98</v>
      </c>
      <c r="E5" t="n">
        <v>8</v>
      </c>
      <c r="F5" t="inlineStr">
        <is>
          <t>CURRENT</t>
        </is>
      </c>
      <c r="G5" t="n">
        <v>2</v>
      </c>
    </row>
    <row r="6">
      <c r="A6" s="12" t="inlineStr">
        <is>
          <t>American Express Green Card</t>
        </is>
      </c>
      <c r="B6" s="4" t="n">
        <v>3978.32</v>
      </c>
      <c r="C6" s="13" t="n">
        <v>0.2399</v>
      </c>
      <c r="D6" s="4" t="n">
        <v>170</v>
      </c>
      <c r="E6" t="n">
        <v>14</v>
      </c>
      <c r="F6" t="inlineStr">
        <is>
          <t>CURRENT</t>
        </is>
      </c>
      <c r="G6" t="n">
        <v>3</v>
      </c>
    </row>
    <row r="7">
      <c r="A7" s="12" t="inlineStr">
        <is>
          <t>Navy Federal CashRewards</t>
        </is>
      </c>
      <c r="B7" s="4" t="n">
        <v>487.49</v>
      </c>
      <c r="C7" s="13" t="n">
        <v>0.1797</v>
      </c>
      <c r="D7" s="4" t="n">
        <v>20</v>
      </c>
      <c r="E7" t="n">
        <v>20</v>
      </c>
      <c r="F7" t="inlineStr">
        <is>
          <t>CURRENT</t>
        </is>
      </c>
      <c r="G7" t="n">
        <v>4</v>
      </c>
    </row>
    <row r="8">
      <c r="A8" t="inlineStr">
        <is>
          <t>Affirm - 10 payments (due 28th)</t>
        </is>
      </c>
      <c r="B8" s="4" t="n">
        <v>532.54</v>
      </c>
      <c r="C8" s="13" t="n">
        <v>0.3243</v>
      </c>
      <c r="D8" s="4" t="n">
        <v>59.21</v>
      </c>
      <c r="E8" t="n">
        <v>28</v>
      </c>
      <c r="F8" t="inlineStr">
        <is>
          <t>CURRENT</t>
        </is>
      </c>
      <c r="G8" t="n">
        <v>5</v>
      </c>
    </row>
    <row r="9">
      <c r="A9" t="inlineStr">
        <is>
          <t>Affirm - 4 payments left (due 28th)</t>
        </is>
      </c>
      <c r="B9" s="4" t="n">
        <v>164.2</v>
      </c>
      <c r="C9" s="13" t="n">
        <v>0.3253</v>
      </c>
      <c r="D9" s="4" t="n">
        <v>54.85</v>
      </c>
      <c r="E9" t="n">
        <v>28</v>
      </c>
      <c r="F9" t="inlineStr">
        <is>
          <t>CURRENT</t>
        </is>
      </c>
      <c r="G9" t="n">
        <v>6</v>
      </c>
    </row>
    <row r="10">
      <c r="A10" t="inlineStr">
        <is>
          <t>Affirm - 3 payments left (due 29th)</t>
        </is>
      </c>
      <c r="B10" s="4" t="n">
        <v>180.59</v>
      </c>
      <c r="C10" s="13" t="n">
        <v>0.324</v>
      </c>
      <c r="D10" s="4" t="n">
        <v>91.38</v>
      </c>
      <c r="E10" t="n">
        <v>29</v>
      </c>
      <c r="F10" t="inlineStr">
        <is>
          <t>CURRENT</t>
        </is>
      </c>
      <c r="G10" t="n">
        <v>7</v>
      </c>
    </row>
    <row r="11">
      <c r="A11" t="inlineStr">
        <is>
          <t>Affirm - 10 payments (due 14th)</t>
        </is>
      </c>
      <c r="B11" s="4" t="n">
        <v>591.83</v>
      </c>
      <c r="C11" s="13" t="n">
        <v>0.3243</v>
      </c>
      <c r="D11" s="4" t="n">
        <v>59.21</v>
      </c>
      <c r="E11" t="n">
        <v>14</v>
      </c>
      <c r="F11" t="inlineStr">
        <is>
          <t>CURRENT</t>
        </is>
      </c>
      <c r="G11" t="n">
        <v>8</v>
      </c>
    </row>
    <row r="12">
      <c r="A12" t="inlineStr">
        <is>
          <t>Affirm - Final Jan 21</t>
        </is>
      </c>
      <c r="B12" s="4" t="n">
        <v>259.91</v>
      </c>
      <c r="C12" s="13" t="n">
        <v>0.2252</v>
      </c>
      <c r="D12" s="4" t="n">
        <v>259.91</v>
      </c>
      <c r="E12" t="n">
        <v>21</v>
      </c>
      <c r="F12" t="inlineStr">
        <is>
          <t>CURRENT</t>
        </is>
      </c>
      <c r="G12" t="n">
        <v>9</v>
      </c>
    </row>
    <row r="13">
      <c r="A13" t="inlineStr">
        <is>
          <t>Affirm - Final Jan 21 (B)</t>
        </is>
      </c>
      <c r="B13" s="4" t="n">
        <v>34.6</v>
      </c>
      <c r="C13" s="13" t="n">
        <v>0.2252</v>
      </c>
      <c r="D13" s="4" t="n">
        <v>34.6</v>
      </c>
      <c r="E13" t="n">
        <v>21</v>
      </c>
      <c r="F13" t="inlineStr">
        <is>
          <t>CURRENT</t>
        </is>
      </c>
      <c r="G13" t="n">
        <v>10</v>
      </c>
    </row>
    <row r="14">
      <c r="A14" t="inlineStr">
        <is>
          <t>Navy Federal Auto Loan</t>
        </is>
      </c>
      <c r="B14" s="4" t="n">
        <v>2740.1</v>
      </c>
      <c r="C14" s="13" t="n">
        <v>0.1685</v>
      </c>
      <c r="D14" s="4" t="n">
        <v>201.53</v>
      </c>
      <c r="E14" t="n">
        <v>20</v>
      </c>
      <c r="F14" t="inlineStr">
        <is>
          <t>DEFERRED to Jul 2027</t>
        </is>
      </c>
      <c r="G14" t="n">
        <v>11</v>
      </c>
    </row>
    <row r="15">
      <c r="A15" s="6" t="inlineStr">
        <is>
          <t>LendKey Student Loan</t>
        </is>
      </c>
      <c r="B15" s="14" t="n">
        <v>6214.58</v>
      </c>
      <c r="C15" s="15" t="n">
        <v>0.112</v>
      </c>
      <c r="D15" s="14" t="n">
        <v>110.69</v>
      </c>
      <c r="E15" s="6" t="n">
        <v>1</v>
      </c>
      <c r="F15" s="6" t="inlineStr">
        <is>
          <t>PAST DUE - $111</t>
        </is>
      </c>
      <c r="G15" s="6" t="n">
        <v>12</v>
      </c>
    </row>
    <row r="16">
      <c r="A16" s="6" t="inlineStr">
        <is>
          <t>BMW Financial Services</t>
        </is>
      </c>
      <c r="B16" s="14" t="n">
        <v>17624.3</v>
      </c>
      <c r="C16" s="15" t="n">
        <v>0.0898</v>
      </c>
      <c r="D16" s="14" t="n">
        <v>437.37</v>
      </c>
      <c r="E16" s="6" t="n">
        <v>4</v>
      </c>
      <c r="F16" s="6" t="inlineStr">
        <is>
          <t>PAST DUE - $1,204</t>
        </is>
      </c>
      <c r="G16" s="6" t="n">
        <v>13</v>
      </c>
    </row>
    <row r="17">
      <c r="A17" t="inlineStr">
        <is>
          <t>Sallie Mae</t>
        </is>
      </c>
      <c r="B17" s="4" t="n">
        <v>11247.88</v>
      </c>
      <c r="C17" s="13" t="n">
        <v>0.08130000000000001</v>
      </c>
      <c r="D17" s="4" t="n">
        <v>192.1</v>
      </c>
      <c r="E17" t="n">
        <v>7</v>
      </c>
      <c r="F17" t="inlineStr">
        <is>
          <t>CURRENT</t>
        </is>
      </c>
      <c r="G17" t="n">
        <v>14</v>
      </c>
    </row>
    <row r="18">
      <c r="A18" t="inlineStr">
        <is>
          <t>Nelnet Federal Student Loans</t>
        </is>
      </c>
      <c r="B18" s="4" t="n">
        <v>22203.57</v>
      </c>
      <c r="C18" s="13" t="n">
        <v>0.05</v>
      </c>
      <c r="D18" s="4" t="n">
        <v>226.14</v>
      </c>
      <c r="E18" t="n">
        <v>10</v>
      </c>
      <c r="F18" t="inlineStr">
        <is>
          <t>DEFERRED to Feb 2026</t>
        </is>
      </c>
      <c r="G18" t="n">
        <v>15</v>
      </c>
    </row>
    <row r="19">
      <c r="A19" t="inlineStr">
        <is>
          <t>Affirm - 12 payments (due 8th)</t>
        </is>
      </c>
      <c r="B19" s="4" t="n">
        <v>947.28</v>
      </c>
      <c r="C19" s="13" t="n">
        <v>0</v>
      </c>
      <c r="D19" s="4" t="n">
        <v>78.94</v>
      </c>
      <c r="E19" t="n">
        <v>8</v>
      </c>
      <c r="F19" t="inlineStr">
        <is>
          <t>CURRENT</t>
        </is>
      </c>
      <c r="G19" t="n">
        <v>16</v>
      </c>
    </row>
    <row r="20">
      <c r="A20" t="inlineStr">
        <is>
          <t>Affirm - 10 payments left (due 27th)</t>
        </is>
      </c>
      <c r="B20" s="4" t="n">
        <v>710.22</v>
      </c>
      <c r="C20" s="13" t="n">
        <v>0</v>
      </c>
      <c r="D20" s="4" t="n">
        <v>78.95</v>
      </c>
      <c r="E20" t="n">
        <v>27</v>
      </c>
      <c r="F20" t="inlineStr">
        <is>
          <t>CURRENT</t>
        </is>
      </c>
      <c r="G20" t="n">
        <v>17</v>
      </c>
    </row>
    <row r="21">
      <c r="A21" t="inlineStr">
        <is>
          <t>Affirm - 5 payments (due 17th)</t>
        </is>
      </c>
      <c r="B21" s="4" t="n">
        <v>500</v>
      </c>
      <c r="C21" s="13" t="n">
        <v>0</v>
      </c>
      <c r="D21" s="4" t="n">
        <v>100</v>
      </c>
      <c r="E21" t="n">
        <v>17</v>
      </c>
      <c r="F21" t="inlineStr">
        <is>
          <t>CURRENT</t>
        </is>
      </c>
      <c r="G21" t="n">
        <v>18</v>
      </c>
    </row>
    <row r="22">
      <c r="A22" t="inlineStr">
        <is>
          <t>Affirm - 4 payments left (due 27th)</t>
        </is>
      </c>
      <c r="B22" s="4" t="n">
        <v>400.01</v>
      </c>
      <c r="C22" s="13" t="n">
        <v>0</v>
      </c>
      <c r="D22" s="4" t="n">
        <v>133.33</v>
      </c>
      <c r="E22" t="n">
        <v>27</v>
      </c>
      <c r="F22" t="inlineStr">
        <is>
          <t>CURRENT</t>
        </is>
      </c>
      <c r="G22" t="n">
        <v>19</v>
      </c>
    </row>
    <row r="23">
      <c r="A23" t="inlineStr">
        <is>
          <t>Affirm - 12 payments (due 8th) B</t>
        </is>
      </c>
      <c r="B23" s="4" t="n">
        <v>355.26</v>
      </c>
      <c r="C23" s="13" t="n">
        <v>0</v>
      </c>
      <c r="D23" s="4" t="n">
        <v>29.6</v>
      </c>
      <c r="E23" t="n">
        <v>8</v>
      </c>
      <c r="F23" t="inlineStr">
        <is>
          <t>CURRENT</t>
        </is>
      </c>
      <c r="G23" t="n">
        <v>20</v>
      </c>
    </row>
    <row r="24">
      <c r="A24" t="inlineStr">
        <is>
          <t>Affirm - 12 payments (due 10th)</t>
        </is>
      </c>
      <c r="B24" s="4" t="n">
        <v>355.25</v>
      </c>
      <c r="C24" s="13" t="n">
        <v>0</v>
      </c>
      <c r="D24" s="4" t="n">
        <v>29.6</v>
      </c>
      <c r="E24" t="n">
        <v>10</v>
      </c>
      <c r="F24" t="inlineStr">
        <is>
          <t>CURRENT</t>
        </is>
      </c>
      <c r="G24" t="n">
        <v>21</v>
      </c>
    </row>
    <row r="25">
      <c r="A25" t="inlineStr">
        <is>
          <t>Affirm - 4 payments left</t>
        </is>
      </c>
      <c r="B25" s="4" t="n">
        <v>250.01</v>
      </c>
      <c r="C25" s="13" t="n">
        <v>0</v>
      </c>
      <c r="D25" s="4" t="n">
        <v>83.33</v>
      </c>
      <c r="E25" t="n">
        <v>27</v>
      </c>
      <c r="F25" t="inlineStr">
        <is>
          <t>CURRENT</t>
        </is>
      </c>
      <c r="G25" t="n">
        <v>22</v>
      </c>
    </row>
    <row r="26">
      <c r="A26" t="inlineStr">
        <is>
          <t>AfterPay - Misc Travel</t>
        </is>
      </c>
      <c r="B26" s="4" t="n">
        <v>190.55</v>
      </c>
      <c r="C26" s="13" t="n">
        <v>0</v>
      </c>
      <c r="D26" s="4" t="n">
        <v>190.55</v>
      </c>
      <c r="E26" t="n">
        <v>19</v>
      </c>
      <c r="F26" t="inlineStr">
        <is>
          <t>CURRENT</t>
        </is>
      </c>
      <c r="G26" t="n">
        <v>23</v>
      </c>
    </row>
    <row r="27">
      <c r="A27" t="inlineStr">
        <is>
          <t>Affirm - 3 payments left (due 24th)</t>
        </is>
      </c>
      <c r="B27" s="4" t="n">
        <v>184.58</v>
      </c>
      <c r="C27" s="13" t="n">
        <v>0</v>
      </c>
      <c r="D27" s="4" t="n">
        <v>93.20999999999999</v>
      </c>
      <c r="E27" t="n">
        <v>24</v>
      </c>
      <c r="F27" t="inlineStr">
        <is>
          <t>CURRENT</t>
        </is>
      </c>
      <c r="G27" t="n">
        <v>24</v>
      </c>
    </row>
    <row r="28">
      <c r="A28" t="inlineStr">
        <is>
          <t>Sezzle - Clearcover (2)</t>
        </is>
      </c>
      <c r="B28" s="4" t="n">
        <v>179.25</v>
      </c>
      <c r="C28" s="13" t="n">
        <v>0</v>
      </c>
      <c r="D28" s="4" t="n">
        <v>59.75</v>
      </c>
      <c r="E28" t="n">
        <v>7</v>
      </c>
      <c r="F28" t="inlineStr">
        <is>
          <t>CURRENT</t>
        </is>
      </c>
      <c r="G28" t="n">
        <v>25</v>
      </c>
    </row>
    <row r="29">
      <c r="A29" t="inlineStr">
        <is>
          <t>Sezzle - Jomashop</t>
        </is>
      </c>
      <c r="B29" s="4" t="n">
        <v>126.42</v>
      </c>
      <c r="C29" s="13" t="n">
        <v>0</v>
      </c>
      <c r="D29" s="4" t="n">
        <v>63.21</v>
      </c>
      <c r="E29" t="n">
        <v>2</v>
      </c>
      <c r="F29" t="inlineStr">
        <is>
          <t>CURRENT</t>
        </is>
      </c>
      <c r="G29" t="n">
        <v>26</v>
      </c>
    </row>
    <row r="30">
      <c r="A30" t="inlineStr">
        <is>
          <t>Sezzle - Expedia</t>
        </is>
      </c>
      <c r="B30" s="4" t="n">
        <v>108.75</v>
      </c>
      <c r="C30" s="13" t="n">
        <v>0</v>
      </c>
      <c r="D30" s="4" t="n">
        <v>108.75</v>
      </c>
      <c r="E30" t="n">
        <v>10</v>
      </c>
      <c r="F30" t="inlineStr">
        <is>
          <t>CURRENT</t>
        </is>
      </c>
      <c r="G30" t="n">
        <v>27</v>
      </c>
    </row>
    <row r="31">
      <c r="A31" t="inlineStr">
        <is>
          <t>Zip - Fashion Nova For Mom</t>
        </is>
      </c>
      <c r="B31" s="4" t="n">
        <v>98.59999999999999</v>
      </c>
      <c r="C31" s="13" t="n">
        <v>0</v>
      </c>
      <c r="D31" s="4" t="n">
        <v>49.3</v>
      </c>
      <c r="E31" t="n">
        <v>29</v>
      </c>
      <c r="F31" t="inlineStr">
        <is>
          <t>CURRENT</t>
        </is>
      </c>
      <c r="G31" t="n">
        <v>28</v>
      </c>
    </row>
    <row r="32">
      <c r="A32" t="inlineStr">
        <is>
          <t>Zip - Vent De Sud</t>
        </is>
      </c>
      <c r="B32" s="4" t="n">
        <v>47</v>
      </c>
      <c r="C32" s="13" t="n">
        <v>0</v>
      </c>
      <c r="D32" s="4" t="n">
        <v>23.5</v>
      </c>
      <c r="E32" t="n">
        <v>2</v>
      </c>
      <c r="F32" t="inlineStr">
        <is>
          <t>CURRENT</t>
        </is>
      </c>
      <c r="G32" t="n">
        <v>29</v>
      </c>
    </row>
    <row r="33">
      <c r="A33" t="inlineStr">
        <is>
          <t>Zip - Cash 3</t>
        </is>
      </c>
      <c r="B33" s="4" t="n">
        <v>21</v>
      </c>
      <c r="C33" s="13" t="n">
        <v>0</v>
      </c>
      <c r="D33" s="4" t="n">
        <v>21</v>
      </c>
      <c r="E33" t="n">
        <v>18</v>
      </c>
      <c r="F33" t="inlineStr">
        <is>
          <t>CURRENT</t>
        </is>
      </c>
      <c r="G33" t="n">
        <v>30</v>
      </c>
    </row>
    <row r="34">
      <c r="A34" s="7" t="inlineStr">
        <is>
          <t>TOTAL</t>
        </is>
      </c>
      <c r="B34" s="8">
        <f>SUM(B4:B33)</f>
        <v/>
      </c>
      <c r="D34" s="8">
        <f>SUM(D4:D33)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5" customWidth="1" min="4" max="4"/>
  </cols>
  <sheetData>
    <row r="1">
      <c r="A1" s="11" t="inlineStr">
        <is>
          <t>BIWEEKLY PAY PERIOD BUDGET - Every Dollar Assigned</t>
        </is>
      </c>
    </row>
    <row r="3">
      <c r="A3" s="16" t="inlineStr">
        <is>
          <t>This budget is for ONE pay period (2 weeks). You get paid biweekly.</t>
        </is>
      </c>
    </row>
    <row r="5">
      <c r="A5" s="2" t="inlineStr">
        <is>
          <t>INCOME</t>
        </is>
      </c>
    </row>
    <row r="6">
      <c r="A6" t="inlineStr">
        <is>
          <t>Net Paycheck</t>
        </is>
      </c>
      <c r="B6" s="3" t="n">
        <v>3049</v>
      </c>
    </row>
    <row r="8">
      <c r="A8" s="2" t="inlineStr">
        <is>
          <t>ALLOCATIONS (Bills + Debt Minimums)</t>
        </is>
      </c>
    </row>
    <row r="9">
      <c r="A9" s="5" t="inlineStr">
        <is>
          <t>Expense</t>
        </is>
      </c>
      <c r="B9" s="5" t="inlineStr">
        <is>
          <t>Per Paycheck</t>
        </is>
      </c>
      <c r="C9" s="5" t="inlineStr">
        <is>
          <t>Monthly Equiv</t>
        </is>
      </c>
      <c r="D9" s="5" t="inlineStr">
        <is>
          <t>Notes</t>
        </is>
      </c>
    </row>
    <row r="10">
      <c r="A10" s="6" t="inlineStr">
        <is>
          <t>BMW Auto Loan (CATCH UP FIRST!)</t>
        </is>
      </c>
      <c r="B10" s="4" t="n">
        <v>437.37</v>
      </c>
      <c r="C10" s="4">
        <f>B10*2.17</f>
        <v/>
      </c>
      <c r="D10" t="inlineStr">
        <is>
          <t>Due 4th - You're $1,204 behind</t>
        </is>
      </c>
    </row>
    <row r="11">
      <c r="A11" t="inlineStr">
        <is>
          <t>Sallie Mae</t>
        </is>
      </c>
      <c r="B11" s="4" t="n">
        <v>192.1</v>
      </c>
      <c r="C11" s="4">
        <f>B11*2.17</f>
        <v/>
      </c>
      <c r="D11" t="inlineStr">
        <is>
          <t>Due 7th - Current, keep it that way</t>
        </is>
      </c>
    </row>
    <row r="12">
      <c r="A12" s="6" t="inlineStr">
        <is>
          <t>LendKey (CATCH UP!)</t>
        </is>
      </c>
      <c r="B12" s="4" t="n">
        <v>110.69</v>
      </c>
      <c r="C12" s="4">
        <f>B12*2.17</f>
        <v/>
      </c>
      <c r="D12" t="inlineStr">
        <is>
          <t>Due 1st - You're $111 behind</t>
        </is>
      </c>
    </row>
    <row r="13">
      <c r="A13" s="6" t="inlineStr">
        <is>
          <t>Best Buy Credit Card</t>
        </is>
      </c>
      <c r="B13" s="4" t="n">
        <v>230</v>
      </c>
      <c r="C13" s="4">
        <f>B13*2.17</f>
        <v/>
      </c>
      <c r="D13" t="inlineStr">
        <is>
          <t>Due 8th - PRIORITY: Highest APR</t>
        </is>
      </c>
    </row>
    <row r="14">
      <c r="A14" s="6" t="inlineStr">
        <is>
          <t>Bank of America</t>
        </is>
      </c>
      <c r="B14" s="4" t="n">
        <v>239.98</v>
      </c>
      <c r="C14" s="4">
        <f>B14*2.17</f>
        <v/>
      </c>
      <c r="D14" t="inlineStr">
        <is>
          <t>Due 8th - PRIORITY: 2nd highest APR</t>
        </is>
      </c>
    </row>
    <row r="15">
      <c r="A15" t="inlineStr">
        <is>
          <t>Amex Green Card</t>
        </is>
      </c>
      <c r="B15" s="4" t="n">
        <v>170</v>
      </c>
      <c r="C15" s="4">
        <f>B15*2.17</f>
        <v/>
      </c>
      <c r="D15" t="inlineStr">
        <is>
          <t>Due 14th</t>
        </is>
      </c>
    </row>
    <row r="16">
      <c r="A16" t="inlineStr">
        <is>
          <t>Navy Federal Credit Card</t>
        </is>
      </c>
      <c r="B16" s="4" t="n">
        <v>20</v>
      </c>
      <c r="C16" s="4">
        <f>B16*2.17</f>
        <v/>
      </c>
      <c r="D16" t="inlineStr">
        <is>
          <t>Due 20th - Small balance, pay off soon</t>
        </is>
      </c>
    </row>
    <row r="17">
      <c r="A17" t="inlineStr">
        <is>
          <t>Clearcover Insurance</t>
        </is>
      </c>
      <c r="B17" s="4" t="n">
        <v>110.1382488479263</v>
      </c>
      <c r="C17" s="4">
        <f>B17*2.17</f>
        <v/>
      </c>
      <c r="D17" t="inlineStr">
        <is>
          <t>Due 23rd - Divide by 2.17 for biweekly</t>
        </is>
      </c>
    </row>
    <row r="18">
      <c r="A18" t="inlineStr">
        <is>
          <t>Subscriptions (iCloud, Prime, Google)</t>
        </is>
      </c>
      <c r="B18" s="4" t="n">
        <v>13.35023041474654</v>
      </c>
      <c r="C18" s="4">
        <f>B18*2.17</f>
        <v/>
      </c>
      <c r="D18" t="inlineStr">
        <is>
          <t>Combined subscriptions</t>
        </is>
      </c>
    </row>
    <row r="19">
      <c r="A19" t="inlineStr">
        <is>
          <t>Gym</t>
        </is>
      </c>
      <c r="B19" s="4" t="n">
        <v>9.216589861751153</v>
      </c>
      <c r="C19" s="4">
        <f>B19*2.17</f>
        <v/>
      </c>
      <c r="D19" t="inlineStr">
        <is>
          <t>AMK Capital One Fitness</t>
        </is>
      </c>
    </row>
    <row r="21">
      <c r="A21" s="2" t="inlineStr">
        <is>
          <t>BNPL PAYMENTS (varies by period)</t>
        </is>
      </c>
    </row>
    <row r="22">
      <c r="A22" t="inlineStr">
        <is>
          <t>Average BNPL payments per paycheck</t>
        </is>
      </c>
      <c r="B22" s="3" t="n">
        <v>993.0138248847927</v>
      </c>
      <c r="D22" t="inlineStr">
        <is>
          <t>Check OpenFi for exact amounts each period</t>
        </is>
      </c>
    </row>
    <row r="24">
      <c r="A24" s="2" t="inlineStr">
        <is>
          <t>LIVING EXPENSES</t>
        </is>
      </c>
    </row>
    <row r="25">
      <c r="A25" t="inlineStr">
        <is>
          <t>Groceries/Food</t>
        </is>
      </c>
      <c r="B25" s="3" t="n">
        <v>200</v>
      </c>
    </row>
    <row r="26">
      <c r="A26" t="inlineStr">
        <is>
          <t>Gas</t>
        </is>
      </c>
      <c r="B26" s="3" t="n">
        <v>100</v>
      </c>
    </row>
    <row r="27">
      <c r="A27" t="inlineStr">
        <is>
          <t>Personal/Misc</t>
        </is>
      </c>
      <c r="B27" s="3" t="n">
        <v>75</v>
      </c>
    </row>
    <row r="29">
      <c r="A29" s="2" t="inlineStr">
        <is>
          <t>SUMMARY</t>
        </is>
      </c>
    </row>
    <row r="30">
      <c r="A30" t="inlineStr">
        <is>
          <t>Income</t>
        </is>
      </c>
      <c r="B30" s="4">
        <f>B6</f>
        <v/>
      </c>
    </row>
    <row r="31">
      <c r="A31" t="inlineStr">
        <is>
          <t>(-) Fixed Allocations</t>
        </is>
      </c>
      <c r="B31" s="4">
        <f>-SUM(B10:B19)</f>
        <v/>
      </c>
    </row>
    <row r="32">
      <c r="A32" t="inlineStr">
        <is>
          <t>(-) BNPL Payments</t>
        </is>
      </c>
      <c r="B32" s="4">
        <f>-B22</f>
        <v/>
      </c>
    </row>
    <row r="33">
      <c r="A33" t="inlineStr">
        <is>
          <t>(-) Living Expenses</t>
        </is>
      </c>
      <c r="B33" s="4">
        <f>-SUM(B25:B27)</f>
        <v/>
      </c>
    </row>
    <row r="34">
      <c r="A34" s="7">
        <f> EXTRA FOR DEBT ATTACK OR SAVINGS</f>
        <v/>
      </c>
      <c r="B34" s="10">
        <f>SUM(B30:B33)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1" t="inlineStr">
        <is>
          <t>MONTH-BY-MONTH PROJECTION TO END OF 2026</t>
        </is>
      </c>
    </row>
    <row r="2">
      <c r="A2" s="16" t="inlineStr">
        <is>
          <t>Assumptions: Minimum payments + $500/mo extra toward highest-APR debt (debt avalanche)</t>
        </is>
      </c>
    </row>
    <row r="4">
      <c r="A4" s="5" t="inlineStr">
        <is>
          <t>#</t>
        </is>
      </c>
      <c r="B4" s="5" t="inlineStr">
        <is>
          <t>Month</t>
        </is>
      </c>
      <c r="C4" s="5" t="inlineStr">
        <is>
          <t>Income</t>
        </is>
      </c>
      <c r="D4" s="5" t="inlineStr">
        <is>
          <t>Bills</t>
        </is>
      </c>
      <c r="E4" s="5" t="inlineStr">
        <is>
          <t>Debt Mins</t>
        </is>
      </c>
      <c r="F4" s="5" t="inlineStr">
        <is>
          <t>BNPL</t>
        </is>
      </c>
      <c r="G4" s="5" t="inlineStr">
        <is>
          <t>Living</t>
        </is>
      </c>
      <c r="H4" s="5" t="inlineStr">
        <is>
          <t>Extra Debt $</t>
        </is>
      </c>
      <c r="I4" s="5" t="inlineStr">
        <is>
          <t>Savings $</t>
        </is>
      </c>
      <c r="J4" s="5" t="inlineStr">
        <is>
          <t>Credit Cards</t>
        </is>
      </c>
      <c r="K4" s="5" t="inlineStr">
        <is>
          <t>Auto Loans</t>
        </is>
      </c>
      <c r="L4" s="5" t="inlineStr">
        <is>
          <t>Student Loans</t>
        </is>
      </c>
      <c r="M4" s="5" t="inlineStr">
        <is>
          <t>BNPL Bal</t>
        </is>
      </c>
      <c r="N4" s="5" t="inlineStr">
        <is>
          <t>Total Debt</t>
        </is>
      </c>
      <c r="O4" s="5" t="inlineStr">
        <is>
          <t>Emergency Fund</t>
        </is>
      </c>
    </row>
    <row r="5">
      <c r="A5" t="n">
        <v>1</v>
      </c>
      <c r="B5" t="inlineStr">
        <is>
          <t>Jan 2026</t>
        </is>
      </c>
      <c r="C5" s="4" t="n">
        <v>6616.33</v>
      </c>
      <c r="D5" s="4" t="n">
        <v>287.97</v>
      </c>
      <c r="E5" s="4" t="n">
        <v>1400.16</v>
      </c>
      <c r="F5" s="4" t="n">
        <v>1800</v>
      </c>
      <c r="G5" s="4" t="n">
        <v>750</v>
      </c>
      <c r="H5" s="4">
        <f>MAX(0,(C5-D5-E5-F5-G5)*0.8)</f>
        <v/>
      </c>
      <c r="I5" s="4">
        <f>MAX(0,(C5-D5-E5-F5-G5)*0.2)</f>
        <v/>
      </c>
      <c r="J5" s="4">
        <f>15840.59-H5</f>
        <v/>
      </c>
      <c r="K5" s="4">
        <f>20364.40-MAX(0,H5-J5)</f>
        <v/>
      </c>
      <c r="L5" s="4" t="n">
        <v>39666.03</v>
      </c>
      <c r="M5" s="4">
        <f>6237.85-F5</f>
        <v/>
      </c>
      <c r="N5" s="4">
        <f>J5+K5+L5+M5</f>
        <v/>
      </c>
      <c r="O5" s="4">
        <f>I5</f>
        <v/>
      </c>
    </row>
    <row r="6">
      <c r="A6" t="n">
        <v>2</v>
      </c>
      <c r="B6" t="inlineStr">
        <is>
          <t>Feb 2026</t>
        </is>
      </c>
      <c r="C6" s="4" t="n">
        <v>6616.33</v>
      </c>
      <c r="D6" s="4" t="n">
        <v>287.97</v>
      </c>
      <c r="E6" s="4" t="n">
        <v>1400.16</v>
      </c>
      <c r="F6" s="4" t="n">
        <v>1600</v>
      </c>
      <c r="G6" s="4" t="n">
        <v>750</v>
      </c>
      <c r="H6" s="4">
        <f>MAX(0,(C6-D6-E6-F6-G6)*0.8)</f>
        <v/>
      </c>
      <c r="I6" s="4">
        <f>MAX(0,(C6-D6-E6-F6-G6)*0.2)</f>
        <v/>
      </c>
      <c r="J6" s="4">
        <f>MAX(0,J5*1.02-H6)</f>
        <v/>
      </c>
      <c r="K6" s="4">
        <f>K5*1.0075-437.37</f>
        <v/>
      </c>
      <c r="L6" s="4">
        <f>L5*1.005-302.79</f>
        <v/>
      </c>
      <c r="M6" s="4">
        <f>MAX(0,M5-F6)</f>
        <v/>
      </c>
      <c r="N6" s="4">
        <f>J6+K6+L6+M6</f>
        <v/>
      </c>
      <c r="O6" s="4">
        <f>MIN(1000,O5+I6)</f>
        <v/>
      </c>
    </row>
    <row r="7">
      <c r="A7" t="n">
        <v>3</v>
      </c>
      <c r="B7" t="inlineStr">
        <is>
          <t>Mar 2026</t>
        </is>
      </c>
      <c r="C7" s="4" t="n">
        <v>6616.33</v>
      </c>
      <c r="D7" s="4" t="n">
        <v>287.97</v>
      </c>
      <c r="E7" s="4" t="n">
        <v>1626.3</v>
      </c>
      <c r="F7" s="4" t="n">
        <v>1500</v>
      </c>
      <c r="G7" s="4" t="n">
        <v>750</v>
      </c>
      <c r="H7" s="4">
        <f>MAX(0,(C7-D7-E7-F7-G7)*0.8)</f>
        <v/>
      </c>
      <c r="I7" s="4">
        <f>MAX(0,(C7-D7-E7-F7-G7)*0.2)</f>
        <v/>
      </c>
      <c r="J7" s="4">
        <f>MAX(0,J6*1.02-H7)</f>
        <v/>
      </c>
      <c r="K7" s="4">
        <f>K6*1.0075-437.37</f>
        <v/>
      </c>
      <c r="L7" s="4">
        <f>L6*1.005-302.79</f>
        <v/>
      </c>
      <c r="M7" s="4">
        <f>MAX(0,M6-F7)</f>
        <v/>
      </c>
      <c r="N7" s="4">
        <f>J7+K7+L7+M7</f>
        <v/>
      </c>
      <c r="O7" s="4">
        <f>MIN(1000,O6+I7)</f>
        <v/>
      </c>
    </row>
    <row r="8">
      <c r="A8" t="n">
        <v>4</v>
      </c>
      <c r="B8" t="inlineStr">
        <is>
          <t>Apr 2026</t>
        </is>
      </c>
      <c r="C8" s="4" t="n">
        <v>6616.33</v>
      </c>
      <c r="D8" s="4" t="n">
        <v>287.97</v>
      </c>
      <c r="E8" s="4" t="n">
        <v>1626.3</v>
      </c>
      <c r="F8" s="4" t="n">
        <v>1300</v>
      </c>
      <c r="G8" s="4" t="n">
        <v>750</v>
      </c>
      <c r="H8" s="4">
        <f>MAX(0,(C8-D8-E8-F8-G8)*0.8)</f>
        <v/>
      </c>
      <c r="I8" s="4">
        <f>MAX(0,(C8-D8-E8-F8-G8)*0.2)</f>
        <v/>
      </c>
      <c r="J8" s="4">
        <f>MAX(0,J7*1.02-H8)</f>
        <v/>
      </c>
      <c r="K8" s="4">
        <f>K7*1.0075-437.37</f>
        <v/>
      </c>
      <c r="L8" s="4">
        <f>L7*1.005-302.79</f>
        <v/>
      </c>
      <c r="M8" s="4">
        <f>MAX(0,M7-F8)</f>
        <v/>
      </c>
      <c r="N8" s="4">
        <f>J8+K8+L8+M8</f>
        <v/>
      </c>
      <c r="O8" s="4">
        <f>MIN(1000,O7+I8)</f>
        <v/>
      </c>
    </row>
    <row r="9">
      <c r="A9" t="n">
        <v>5</v>
      </c>
      <c r="B9" t="inlineStr">
        <is>
          <t>May 2026</t>
        </is>
      </c>
      <c r="C9" s="4" t="n">
        <v>6616.33</v>
      </c>
      <c r="D9" s="4" t="n">
        <v>287.97</v>
      </c>
      <c r="E9" s="4" t="n">
        <v>1626.3</v>
      </c>
      <c r="F9" s="4" t="n">
        <v>1100</v>
      </c>
      <c r="G9" s="4" t="n">
        <v>750</v>
      </c>
      <c r="H9" s="4">
        <f>MAX(0,(C9-D9-E9-F9-G9)*0.8)</f>
        <v/>
      </c>
      <c r="I9" s="4">
        <f>MAX(0,(C9-D9-E9-F9-G9)*0.2)</f>
        <v/>
      </c>
      <c r="J9" s="4">
        <f>MAX(0,J8*1.02-H9)</f>
        <v/>
      </c>
      <c r="K9" s="4">
        <f>K8*1.0075-437.37</f>
        <v/>
      </c>
      <c r="L9" s="4">
        <f>L8*1.005-302.79</f>
        <v/>
      </c>
      <c r="M9" s="4">
        <f>MAX(0,M8-F9)</f>
        <v/>
      </c>
      <c r="N9" s="4">
        <f>J9+K9+L9+M9</f>
        <v/>
      </c>
      <c r="O9" s="4">
        <f>MIN(1000,O8+I9)</f>
        <v/>
      </c>
    </row>
    <row r="10">
      <c r="A10" t="n">
        <v>6</v>
      </c>
      <c r="B10" t="inlineStr">
        <is>
          <t>Jun 2026</t>
        </is>
      </c>
      <c r="C10" s="4" t="n">
        <v>6616.33</v>
      </c>
      <c r="D10" s="4" t="n">
        <v>287.97</v>
      </c>
      <c r="E10" s="4" t="n">
        <v>1626.3</v>
      </c>
      <c r="F10" s="4" t="n">
        <v>900</v>
      </c>
      <c r="G10" s="4" t="n">
        <v>750</v>
      </c>
      <c r="H10" s="4">
        <f>MAX(0,(C10-D10-E10-F10-G10)*0.8)</f>
        <v/>
      </c>
      <c r="I10" s="4">
        <f>MAX(0,(C10-D10-E10-F10-G10)*0.2)</f>
        <v/>
      </c>
      <c r="J10" s="4">
        <f>MAX(0,J9*1.02-H10)</f>
        <v/>
      </c>
      <c r="K10" s="4">
        <f>K9*1.0075-437.37</f>
        <v/>
      </c>
      <c r="L10" s="4">
        <f>L9*1.005-302.79</f>
        <v/>
      </c>
      <c r="M10" s="4">
        <f>MAX(0,M9-F10)</f>
        <v/>
      </c>
      <c r="N10" s="4">
        <f>J10+K10+L10+M10</f>
        <v/>
      </c>
      <c r="O10" s="4">
        <f>MIN(1000,O9+I10)</f>
        <v/>
      </c>
    </row>
    <row r="11">
      <c r="A11" t="n">
        <v>7</v>
      </c>
      <c r="B11" t="inlineStr">
        <is>
          <t>Jul 2026</t>
        </is>
      </c>
      <c r="C11" s="4" t="n">
        <v>6616.33</v>
      </c>
      <c r="D11" s="4" t="n">
        <v>287.97</v>
      </c>
      <c r="E11" s="4" t="n">
        <v>1626.3</v>
      </c>
      <c r="F11" s="4" t="n">
        <v>700</v>
      </c>
      <c r="G11" s="4" t="n">
        <v>750</v>
      </c>
      <c r="H11" s="4">
        <f>MAX(0,(C11-D11-E11-F11-G11)*0.8)</f>
        <v/>
      </c>
      <c r="I11" s="4">
        <f>MAX(0,(C11-D11-E11-F11-G11)*0.2)</f>
        <v/>
      </c>
      <c r="J11" s="4">
        <f>MAX(0,J10*1.02-H11)</f>
        <v/>
      </c>
      <c r="K11" s="4">
        <f>K10*1.0075-437.37</f>
        <v/>
      </c>
      <c r="L11" s="4">
        <f>L10*1.005-302.79</f>
        <v/>
      </c>
      <c r="M11" s="4">
        <f>MAX(0,M10-F11)</f>
        <v/>
      </c>
      <c r="N11" s="4">
        <f>J11+K11+L11+M11</f>
        <v/>
      </c>
      <c r="O11" s="4">
        <f>MIN(1000,O10+I11)</f>
        <v/>
      </c>
    </row>
    <row r="12">
      <c r="A12" t="n">
        <v>8</v>
      </c>
      <c r="B12" t="inlineStr">
        <is>
          <t>Aug 2026</t>
        </is>
      </c>
      <c r="C12" s="4" t="n">
        <v>6616.33</v>
      </c>
      <c r="D12" s="4" t="n">
        <v>287.97</v>
      </c>
      <c r="E12" s="4" t="n">
        <v>1626.3</v>
      </c>
      <c r="F12" s="4" t="n">
        <v>500</v>
      </c>
      <c r="G12" s="4" t="n">
        <v>750</v>
      </c>
      <c r="H12" s="4">
        <f>MAX(0,(C12-D12-E12-F12-G12)*0.8)</f>
        <v/>
      </c>
      <c r="I12" s="4">
        <f>MAX(0,(C12-D12-E12-F12-G12)*0.2)</f>
        <v/>
      </c>
      <c r="J12" s="4">
        <f>MAX(0,J11*1.02-H12)</f>
        <v/>
      </c>
      <c r="K12" s="4">
        <f>K11*1.0075-437.37</f>
        <v/>
      </c>
      <c r="L12" s="4">
        <f>L11*1.005-302.79</f>
        <v/>
      </c>
      <c r="M12" s="4">
        <f>MAX(0,M11-F12)</f>
        <v/>
      </c>
      <c r="N12" s="4">
        <f>J12+K12+L12+M12</f>
        <v/>
      </c>
      <c r="O12" s="4">
        <f>MIN(1000,O11+I12)</f>
        <v/>
      </c>
    </row>
    <row r="13">
      <c r="A13" t="n">
        <v>9</v>
      </c>
      <c r="B13" t="inlineStr">
        <is>
          <t>Sep 2026</t>
        </is>
      </c>
      <c r="C13" s="4" t="n">
        <v>6616.33</v>
      </c>
      <c r="D13" s="4" t="n">
        <v>287.97</v>
      </c>
      <c r="E13" s="4" t="n">
        <v>1626.3</v>
      </c>
      <c r="F13" s="4" t="n">
        <v>300</v>
      </c>
      <c r="G13" s="4" t="n">
        <v>750</v>
      </c>
      <c r="H13" s="4">
        <f>MAX(0,(C13-D13-E13-F13-G13)*0.8)</f>
        <v/>
      </c>
      <c r="I13" s="4">
        <f>MAX(0,(C13-D13-E13-F13-G13)*0.2)</f>
        <v/>
      </c>
      <c r="J13" s="4">
        <f>MAX(0,J12*1.02-H13)</f>
        <v/>
      </c>
      <c r="K13" s="4">
        <f>K12*1.0075-437.37</f>
        <v/>
      </c>
      <c r="L13" s="4">
        <f>L12*1.005-302.79</f>
        <v/>
      </c>
      <c r="M13" s="4">
        <f>MAX(0,M12-F13)</f>
        <v/>
      </c>
      <c r="N13" s="4">
        <f>J13+K13+L13+M13</f>
        <v/>
      </c>
      <c r="O13" s="4">
        <f>MIN(1000,O12+I13)</f>
        <v/>
      </c>
    </row>
    <row r="14">
      <c r="A14" t="n">
        <v>10</v>
      </c>
      <c r="B14" t="inlineStr">
        <is>
          <t>Oct 2026</t>
        </is>
      </c>
      <c r="C14" s="4" t="n">
        <v>6616.33</v>
      </c>
      <c r="D14" s="4" t="n">
        <v>287.97</v>
      </c>
      <c r="E14" s="4" t="n">
        <v>1626.3</v>
      </c>
      <c r="F14" s="4" t="n">
        <v>200</v>
      </c>
      <c r="G14" s="4" t="n">
        <v>750</v>
      </c>
      <c r="H14" s="4">
        <f>MAX(0,(C14-D14-E14-F14-G14)*0.8)</f>
        <v/>
      </c>
      <c r="I14" s="4">
        <f>MAX(0,(C14-D14-E14-F14-G14)*0.2)</f>
        <v/>
      </c>
      <c r="J14" s="4">
        <f>MAX(0,J13*1.02-H14)</f>
        <v/>
      </c>
      <c r="K14" s="4">
        <f>K13*1.0075-437.37</f>
        <v/>
      </c>
      <c r="L14" s="4">
        <f>L13*1.005-302.79</f>
        <v/>
      </c>
      <c r="M14" s="4">
        <f>MAX(0,M13-F14)</f>
        <v/>
      </c>
      <c r="N14" s="4">
        <f>J14+K14+L14+M14</f>
        <v/>
      </c>
      <c r="O14" s="4">
        <f>MIN(1000,O13+I14)</f>
        <v/>
      </c>
    </row>
    <row r="15">
      <c r="A15" t="n">
        <v>11</v>
      </c>
      <c r="B15" t="inlineStr">
        <is>
          <t>Nov 2026</t>
        </is>
      </c>
      <c r="C15" s="4" t="n">
        <v>6616.33</v>
      </c>
      <c r="D15" s="4" t="n">
        <v>287.97</v>
      </c>
      <c r="E15" s="4" t="n">
        <v>1626.3</v>
      </c>
      <c r="F15" s="4" t="n">
        <v>100</v>
      </c>
      <c r="G15" s="4" t="n">
        <v>750</v>
      </c>
      <c r="H15" s="4">
        <f>MAX(0,(C15-D15-E15-F15-G15)*0.8)</f>
        <v/>
      </c>
      <c r="I15" s="4">
        <f>MAX(0,(C15-D15-E15-F15-G15)*0.2)</f>
        <v/>
      </c>
      <c r="J15" s="4">
        <f>MAX(0,J14*1.02-H15)</f>
        <v/>
      </c>
      <c r="K15" s="4">
        <f>K14*1.0075-437.37</f>
        <v/>
      </c>
      <c r="L15" s="4">
        <f>L14*1.005-302.79</f>
        <v/>
      </c>
      <c r="M15" s="4">
        <f>MAX(0,M14-F15)</f>
        <v/>
      </c>
      <c r="N15" s="4">
        <f>J15+K15+L15+M15</f>
        <v/>
      </c>
      <c r="O15" s="4">
        <f>MIN(1000,O14+I15)</f>
        <v/>
      </c>
    </row>
    <row r="16">
      <c r="A16" t="n">
        <v>12</v>
      </c>
      <c r="B16" t="inlineStr">
        <is>
          <t>Dec 2026</t>
        </is>
      </c>
      <c r="C16" s="4" t="n">
        <v>6616.33</v>
      </c>
      <c r="D16" s="4" t="n">
        <v>287.97</v>
      </c>
      <c r="E16" s="4" t="n">
        <v>1626.3</v>
      </c>
      <c r="F16" s="4" t="n">
        <v>0</v>
      </c>
      <c r="G16" s="4" t="n">
        <v>750</v>
      </c>
      <c r="H16" s="4">
        <f>MAX(0,(C16-D16-E16-F16-G16)*0.8)</f>
        <v/>
      </c>
      <c r="I16" s="4">
        <f>MAX(0,(C16-D16-E16-F16-G16)*0.2)</f>
        <v/>
      </c>
      <c r="J16" s="4">
        <f>MAX(0,J15*1.02-H16)</f>
        <v/>
      </c>
      <c r="K16" s="4">
        <f>K15*1.0075-437.37</f>
        <v/>
      </c>
      <c r="L16" s="4">
        <f>L15*1.005-302.79</f>
        <v/>
      </c>
      <c r="M16" s="4">
        <f>MAX(0,M15-F16)</f>
        <v/>
      </c>
      <c r="N16" s="4">
        <f>J16+K16+L16+M16</f>
        <v/>
      </c>
      <c r="O16" s="4">
        <f>MIN(1000,O15+I16)</f>
        <v/>
      </c>
    </row>
    <row r="17">
      <c r="A17" t="n">
        <v>13</v>
      </c>
      <c r="B17" t="inlineStr">
        <is>
          <t>Jan 2027</t>
        </is>
      </c>
      <c r="C17" s="4" t="n">
        <v>6616.33</v>
      </c>
      <c r="D17" s="4" t="n">
        <v>287.97</v>
      </c>
      <c r="E17" s="4" t="n">
        <v>1626.3</v>
      </c>
      <c r="F17" s="4" t="n">
        <v>0</v>
      </c>
      <c r="G17" s="4" t="n">
        <v>750</v>
      </c>
      <c r="H17" s="4">
        <f>MAX(0,(C17-D17-E17-F17-G17)*0.8)</f>
        <v/>
      </c>
      <c r="I17" s="4">
        <f>MAX(0,(C17-D17-E17-F17-G17)*0.2)</f>
        <v/>
      </c>
      <c r="J17" s="4">
        <f>MAX(0,J16*1.02-H17)</f>
        <v/>
      </c>
      <c r="K17" s="4">
        <f>K16*1.0075-437.37</f>
        <v/>
      </c>
      <c r="L17" s="4">
        <f>L16*1.005-302.79</f>
        <v/>
      </c>
      <c r="M17" s="4">
        <f>MAX(0,M16-F17)</f>
        <v/>
      </c>
      <c r="N17" s="4">
        <f>J17+K17+L17+M17</f>
        <v/>
      </c>
      <c r="O17" s="4">
        <f>MIN(1000,O16+I17)</f>
        <v/>
      </c>
    </row>
    <row r="18">
      <c r="A18" t="n">
        <v>14</v>
      </c>
      <c r="B18" t="inlineStr">
        <is>
          <t>Feb 2027</t>
        </is>
      </c>
      <c r="C18" s="4" t="n">
        <v>6616.33</v>
      </c>
      <c r="D18" s="4" t="n">
        <v>287.97</v>
      </c>
      <c r="E18" s="4" t="n">
        <v>1626.3</v>
      </c>
      <c r="F18" s="4" t="n">
        <v>0</v>
      </c>
      <c r="G18" s="4" t="n">
        <v>750</v>
      </c>
      <c r="H18" s="4">
        <f>MAX(0,(C18-D18-E18-F18-G18)*0.8)</f>
        <v/>
      </c>
      <c r="I18" s="4">
        <f>MAX(0,(C18-D18-E18-F18-G18)*0.2)</f>
        <v/>
      </c>
      <c r="J18" s="4">
        <f>MAX(0,J17*1.02-H18)</f>
        <v/>
      </c>
      <c r="K18" s="4">
        <f>K17*1.0075-437.37</f>
        <v/>
      </c>
      <c r="L18" s="4">
        <f>L17*1.005-302.79</f>
        <v/>
      </c>
      <c r="M18" s="4">
        <f>MAX(0,M17-F18)</f>
        <v/>
      </c>
      <c r="N18" s="4">
        <f>J18+K18+L18+M18</f>
        <v/>
      </c>
      <c r="O18" s="4">
        <f>MIN(1000,O17+I18)</f>
        <v/>
      </c>
    </row>
    <row r="19">
      <c r="A19" t="n">
        <v>15</v>
      </c>
      <c r="B19" t="inlineStr">
        <is>
          <t>Mar 2027</t>
        </is>
      </c>
      <c r="C19" s="4" t="n">
        <v>6616.33</v>
      </c>
      <c r="D19" s="4" t="n">
        <v>287.97</v>
      </c>
      <c r="E19" s="4" t="n">
        <v>1626.3</v>
      </c>
      <c r="F19" s="4" t="n">
        <v>0</v>
      </c>
      <c r="G19" s="4" t="n">
        <v>750</v>
      </c>
      <c r="H19" s="4">
        <f>MAX(0,(C19-D19-E19-F19-G19)*0.8)</f>
        <v/>
      </c>
      <c r="I19" s="4">
        <f>MAX(0,(C19-D19-E19-F19-G19)*0.2)</f>
        <v/>
      </c>
      <c r="J19" s="4">
        <f>MAX(0,J18*1.02-H19)</f>
        <v/>
      </c>
      <c r="K19" s="4">
        <f>K18*1.0075-437.37</f>
        <v/>
      </c>
      <c r="L19" s="4">
        <f>L18*1.005-302.79</f>
        <v/>
      </c>
      <c r="M19" s="4">
        <f>MAX(0,M18-F19)</f>
        <v/>
      </c>
      <c r="N19" s="4">
        <f>J19+K19+L19+M19</f>
        <v/>
      </c>
      <c r="O19" s="4">
        <f>MIN(1000,O18+I19)</f>
        <v/>
      </c>
    </row>
    <row r="20">
      <c r="A20" t="n">
        <v>16</v>
      </c>
      <c r="B20" t="inlineStr">
        <is>
          <t>Apr 2027</t>
        </is>
      </c>
      <c r="C20" s="4" t="n">
        <v>6616.33</v>
      </c>
      <c r="D20" s="4" t="n">
        <v>287.97</v>
      </c>
      <c r="E20" s="4" t="n">
        <v>1626.3</v>
      </c>
      <c r="F20" s="4" t="n">
        <v>0</v>
      </c>
      <c r="G20" s="4" t="n">
        <v>750</v>
      </c>
      <c r="H20" s="4">
        <f>MAX(0,(C20-D20-E20-F20-G20)*0.8)</f>
        <v/>
      </c>
      <c r="I20" s="4">
        <f>MAX(0,(C20-D20-E20-F20-G20)*0.2)</f>
        <v/>
      </c>
      <c r="J20" s="4">
        <f>MAX(0,J19*1.02-H20)</f>
        <v/>
      </c>
      <c r="K20" s="4">
        <f>K19*1.0075-437.37</f>
        <v/>
      </c>
      <c r="L20" s="4">
        <f>L19*1.005-302.79</f>
        <v/>
      </c>
      <c r="M20" s="4">
        <f>MAX(0,M19-F20)</f>
        <v/>
      </c>
      <c r="N20" s="4">
        <f>J20+K20+L20+M20</f>
        <v/>
      </c>
      <c r="O20" s="4">
        <f>MIN(1000,O19+I20)</f>
        <v/>
      </c>
    </row>
    <row r="21">
      <c r="A21" t="n">
        <v>17</v>
      </c>
      <c r="B21" t="inlineStr">
        <is>
          <t>May 2027</t>
        </is>
      </c>
      <c r="C21" s="4" t="n">
        <v>6616.33</v>
      </c>
      <c r="D21" s="4" t="n">
        <v>287.97</v>
      </c>
      <c r="E21" s="4" t="n">
        <v>1626.3</v>
      </c>
      <c r="F21" s="4" t="n">
        <v>0</v>
      </c>
      <c r="G21" s="4" t="n">
        <v>750</v>
      </c>
      <c r="H21" s="4">
        <f>MAX(0,(C21-D21-E21-F21-G21)*0.8)</f>
        <v/>
      </c>
      <c r="I21" s="4">
        <f>MAX(0,(C21-D21-E21-F21-G21)*0.2)</f>
        <v/>
      </c>
      <c r="J21" s="4">
        <f>MAX(0,J20*1.02-H21)</f>
        <v/>
      </c>
      <c r="K21" s="4">
        <f>K20*1.0075-437.37</f>
        <v/>
      </c>
      <c r="L21" s="4">
        <f>L20*1.005-302.79</f>
        <v/>
      </c>
      <c r="M21" s="4">
        <f>MAX(0,M20-F21)</f>
        <v/>
      </c>
      <c r="N21" s="4">
        <f>J21+K21+L21+M21</f>
        <v/>
      </c>
      <c r="O21" s="4">
        <f>MIN(1000,O20+I21)</f>
        <v/>
      </c>
    </row>
    <row r="22">
      <c r="A22" t="n">
        <v>18</v>
      </c>
      <c r="B22" t="inlineStr">
        <is>
          <t>Jun 2027</t>
        </is>
      </c>
      <c r="C22" s="4" t="n">
        <v>6616.33</v>
      </c>
      <c r="D22" s="4" t="n">
        <v>287.97</v>
      </c>
      <c r="E22" s="4" t="n">
        <v>1626.3</v>
      </c>
      <c r="F22" s="4" t="n">
        <v>0</v>
      </c>
      <c r="G22" s="4" t="n">
        <v>750</v>
      </c>
      <c r="H22" s="4">
        <f>MAX(0,(C22-D22-E22-F22-G22)*0.8)</f>
        <v/>
      </c>
      <c r="I22" s="4">
        <f>MAX(0,(C22-D22-E22-F22-G22)*0.2)</f>
        <v/>
      </c>
      <c r="J22" s="4">
        <f>MAX(0,J21*1.02-H22)</f>
        <v/>
      </c>
      <c r="K22" s="4">
        <f>K21*1.0075-437.37</f>
        <v/>
      </c>
      <c r="L22" s="4">
        <f>L21*1.005-302.79</f>
        <v/>
      </c>
      <c r="M22" s="4">
        <f>MAX(0,M21-F22)</f>
        <v/>
      </c>
      <c r="N22" s="4">
        <f>J22+K22+L22+M22</f>
        <v/>
      </c>
      <c r="O22" s="4">
        <f>MIN(1000,O21+I22)</f>
        <v/>
      </c>
    </row>
    <row r="23">
      <c r="A23" t="n">
        <v>19</v>
      </c>
      <c r="B23" t="inlineStr">
        <is>
          <t>Jul 2027</t>
        </is>
      </c>
      <c r="C23" s="4" t="n">
        <v>6616.33</v>
      </c>
      <c r="D23" s="4" t="n">
        <v>287.97</v>
      </c>
      <c r="E23" s="4" t="n">
        <v>1626.3</v>
      </c>
      <c r="F23" s="4" t="n">
        <v>0</v>
      </c>
      <c r="G23" s="4" t="n">
        <v>750</v>
      </c>
      <c r="H23" s="4">
        <f>MAX(0,(C23-D23-E23-F23-G23)*0.8)</f>
        <v/>
      </c>
      <c r="I23" s="4">
        <f>MAX(0,(C23-D23-E23-F23-G23)*0.2)</f>
        <v/>
      </c>
      <c r="J23" s="4">
        <f>MAX(0,J22*1.02-H23)</f>
        <v/>
      </c>
      <c r="K23" s="4">
        <f>K22*1.0075-437.37</f>
        <v/>
      </c>
      <c r="L23" s="4">
        <f>L22*1.005-302.79</f>
        <v/>
      </c>
      <c r="M23" s="4">
        <f>MAX(0,M22-F23)</f>
        <v/>
      </c>
      <c r="N23" s="4">
        <f>J23+K23+L23+M23</f>
        <v/>
      </c>
      <c r="O23" s="4">
        <f>MIN(1000,O22+I23)</f>
        <v/>
      </c>
    </row>
    <row r="24">
      <c r="A24" t="n">
        <v>20</v>
      </c>
      <c r="B24" t="inlineStr">
        <is>
          <t>Aug 2027</t>
        </is>
      </c>
      <c r="C24" s="4" t="n">
        <v>6616.33</v>
      </c>
      <c r="D24" s="4" t="n">
        <v>287.97</v>
      </c>
      <c r="E24" s="4" t="n">
        <v>1626.3</v>
      </c>
      <c r="F24" s="4" t="n">
        <v>0</v>
      </c>
      <c r="G24" s="4" t="n">
        <v>750</v>
      </c>
      <c r="H24" s="4">
        <f>MAX(0,(C24-D24-E24-F24-G24)*0.8)</f>
        <v/>
      </c>
      <c r="I24" s="4">
        <f>MAX(0,(C24-D24-E24-F24-G24)*0.2)</f>
        <v/>
      </c>
      <c r="J24" s="4">
        <f>MAX(0,J23*1.02-H24)</f>
        <v/>
      </c>
      <c r="K24" s="4">
        <f>K23*1.0075-437.37</f>
        <v/>
      </c>
      <c r="L24" s="4">
        <f>L23*1.005-302.79</f>
        <v/>
      </c>
      <c r="M24" s="4">
        <f>MAX(0,M23-F24)</f>
        <v/>
      </c>
      <c r="N24" s="4">
        <f>J24+K24+L24+M24</f>
        <v/>
      </c>
      <c r="O24" s="4">
        <f>MIN(1000,O23+I24)</f>
        <v/>
      </c>
    </row>
    <row r="25">
      <c r="A25" t="n">
        <v>21</v>
      </c>
      <c r="B25" t="inlineStr">
        <is>
          <t>Sep 2027</t>
        </is>
      </c>
      <c r="C25" s="4" t="n">
        <v>6616.33</v>
      </c>
      <c r="D25" s="4" t="n">
        <v>287.97</v>
      </c>
      <c r="E25" s="4" t="n">
        <v>1626.3</v>
      </c>
      <c r="F25" s="4" t="n">
        <v>0</v>
      </c>
      <c r="G25" s="4" t="n">
        <v>750</v>
      </c>
      <c r="H25" s="4">
        <f>MAX(0,(C25-D25-E25-F25-G25)*0.8)</f>
        <v/>
      </c>
      <c r="I25" s="4">
        <f>MAX(0,(C25-D25-E25-F25-G25)*0.2)</f>
        <v/>
      </c>
      <c r="J25" s="4">
        <f>MAX(0,J24*1.02-H25)</f>
        <v/>
      </c>
      <c r="K25" s="4">
        <f>K24*1.0075-437.37</f>
        <v/>
      </c>
      <c r="L25" s="4">
        <f>L24*1.005-302.79</f>
        <v/>
      </c>
      <c r="M25" s="4">
        <f>MAX(0,M24-F25)</f>
        <v/>
      </c>
      <c r="N25" s="4">
        <f>J25+K25+L25+M25</f>
        <v/>
      </c>
      <c r="O25" s="4">
        <f>MIN(1000,O24+I25)</f>
        <v/>
      </c>
    </row>
    <row r="26">
      <c r="A26" t="n">
        <v>22</v>
      </c>
      <c r="B26" t="inlineStr">
        <is>
          <t>Oct 2027</t>
        </is>
      </c>
      <c r="C26" s="4" t="n">
        <v>6616.33</v>
      </c>
      <c r="D26" s="4" t="n">
        <v>287.97</v>
      </c>
      <c r="E26" s="4" t="n">
        <v>1626.3</v>
      </c>
      <c r="F26" s="4" t="n">
        <v>0</v>
      </c>
      <c r="G26" s="4" t="n">
        <v>750</v>
      </c>
      <c r="H26" s="4">
        <f>MAX(0,(C26-D26-E26-F26-G26)*0.8)</f>
        <v/>
      </c>
      <c r="I26" s="4">
        <f>MAX(0,(C26-D26-E26-F26-G26)*0.2)</f>
        <v/>
      </c>
      <c r="J26" s="4">
        <f>MAX(0,J25*1.02-H26)</f>
        <v/>
      </c>
      <c r="K26" s="4">
        <f>K25*1.0075-437.37</f>
        <v/>
      </c>
      <c r="L26" s="4">
        <f>L25*1.005-302.79</f>
        <v/>
      </c>
      <c r="M26" s="4">
        <f>MAX(0,M25-F26)</f>
        <v/>
      </c>
      <c r="N26" s="4">
        <f>J26+K26+L26+M26</f>
        <v/>
      </c>
      <c r="O26" s="4">
        <f>MIN(1000,O25+I26)</f>
        <v/>
      </c>
    </row>
    <row r="27">
      <c r="A27" t="n">
        <v>23</v>
      </c>
      <c r="B27" t="inlineStr">
        <is>
          <t>Nov 2027</t>
        </is>
      </c>
      <c r="C27" s="4" t="n">
        <v>6616.33</v>
      </c>
      <c r="D27" s="4" t="n">
        <v>287.97</v>
      </c>
      <c r="E27" s="4" t="n">
        <v>1626.3</v>
      </c>
      <c r="F27" s="4" t="n">
        <v>0</v>
      </c>
      <c r="G27" s="4" t="n">
        <v>750</v>
      </c>
      <c r="H27" s="4">
        <f>MAX(0,(C27-D27-E27-F27-G27)*0.8)</f>
        <v/>
      </c>
      <c r="I27" s="4">
        <f>MAX(0,(C27-D27-E27-F27-G27)*0.2)</f>
        <v/>
      </c>
      <c r="J27" s="4">
        <f>MAX(0,J26*1.02-H27)</f>
        <v/>
      </c>
      <c r="K27" s="4">
        <f>K26*1.0075-437.37</f>
        <v/>
      </c>
      <c r="L27" s="4">
        <f>L26*1.005-302.79</f>
        <v/>
      </c>
      <c r="M27" s="4">
        <f>MAX(0,M26-F27)</f>
        <v/>
      </c>
      <c r="N27" s="4">
        <f>J27+K27+L27+M27</f>
        <v/>
      </c>
      <c r="O27" s="4">
        <f>MIN(1000,O26+I27)</f>
        <v/>
      </c>
    </row>
    <row r="28">
      <c r="A28" t="n">
        <v>24</v>
      </c>
      <c r="B28" t="inlineStr">
        <is>
          <t>Dec 2027</t>
        </is>
      </c>
      <c r="C28" s="4" t="n">
        <v>6616.33</v>
      </c>
      <c r="D28" s="4" t="n">
        <v>287.97</v>
      </c>
      <c r="E28" s="4" t="n">
        <v>1626.3</v>
      </c>
      <c r="F28" s="4" t="n">
        <v>0</v>
      </c>
      <c r="G28" s="4" t="n">
        <v>750</v>
      </c>
      <c r="H28" s="4">
        <f>MAX(0,(C28-D28-E28-F28-G28)*0.8)</f>
        <v/>
      </c>
      <c r="I28" s="4">
        <f>MAX(0,(C28-D28-E28-F28-G28)*0.2)</f>
        <v/>
      </c>
      <c r="J28" s="4">
        <f>MAX(0,J27*1.02-H28)</f>
        <v/>
      </c>
      <c r="K28" s="4">
        <f>K27*1.0075-437.37</f>
        <v/>
      </c>
      <c r="L28" s="4">
        <f>L27*1.005-302.79</f>
        <v/>
      </c>
      <c r="M28" s="4">
        <f>MAX(0,M27-F28)</f>
        <v/>
      </c>
      <c r="N28" s="4">
        <f>J28+K28+L28+M28</f>
        <v/>
      </c>
      <c r="O28" s="4">
        <f>MIN(1000,O27+I28)</f>
        <v/>
      </c>
    </row>
    <row r="31">
      <c r="A31" s="2" t="inlineStr">
        <is>
          <t>END OF 2026 PROJECTIONS</t>
        </is>
      </c>
    </row>
    <row r="32">
      <c r="B32" t="inlineStr">
        <is>
          <t>Projected Total Debt (Dec 2026)</t>
        </is>
      </c>
      <c r="N32" s="8">
        <f>N16</f>
        <v/>
      </c>
    </row>
    <row r="33">
      <c r="B33" t="inlineStr">
        <is>
          <t>Debt Paid Off</t>
        </is>
      </c>
      <c r="N33" s="9">
        <f>82108.87-N16</f>
        <v/>
      </c>
    </row>
    <row r="34">
      <c r="B34" t="inlineStr">
        <is>
          <t>Emergency Fund</t>
        </is>
      </c>
      <c r="O34" s="17">
        <f>O16</f>
        <v/>
      </c>
    </row>
  </sheetData>
  <mergeCells count="2">
    <mergeCell ref="A31:N3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YOUR ACTION PLAN - GETTING OUT OF THIS MESS</t>
        </is>
      </c>
    </row>
    <row r="3">
      <c r="A3" s="18" t="inlineStr">
        <is>
          <t>WEEK 1</t>
        </is>
      </c>
      <c r="B3" s="6" t="inlineStr">
        <is>
          <t>EMERGENCY TRIAGE (Dec 27 - Jan 3)</t>
        </is>
      </c>
    </row>
    <row r="4">
      <c r="A4" s="19" t="inlineStr"/>
      <c r="B4" t="inlineStr">
        <is>
          <t>• Take $250 and put aside $100 for absolute emergencies</t>
        </is>
      </c>
    </row>
    <row r="5">
      <c r="A5" s="19" t="inlineStr"/>
      <c r="B5" t="inlineStr">
        <is>
          <t>• Call BMW Financial Services - you are $1,204 past due</t>
        </is>
      </c>
    </row>
    <row r="6">
      <c r="A6" s="19" t="inlineStr"/>
      <c r="B6" t="inlineStr">
        <is>
          <t xml:space="preserve">  - Ask about forbearance or payment arrangement</t>
        </is>
      </c>
    </row>
    <row r="7">
      <c r="A7" s="19" t="inlineStr"/>
      <c r="B7" t="inlineStr">
        <is>
          <t xml:space="preserve">  - Goal: Get them to stop any repo proceedings</t>
        </is>
      </c>
    </row>
    <row r="8">
      <c r="A8" s="19" t="inlineStr"/>
      <c r="B8" t="inlineStr">
        <is>
          <t>• Call LendKey - you are $111 past due</t>
        </is>
      </c>
    </row>
    <row r="9">
      <c r="A9" s="19" t="inlineStr"/>
      <c r="B9" t="inlineStr">
        <is>
          <t xml:space="preserve">  - Make minimum payment if you can</t>
        </is>
      </c>
    </row>
    <row r="10">
      <c r="A10" s="19" t="inlineStr"/>
      <c r="B10" t="inlineStr">
        <is>
          <t>• DO NOT use any more credit cards or BNPL</t>
        </is>
      </c>
    </row>
    <row r="11">
      <c r="A11" s="19" t="inlineStr"/>
      <c r="B11" t="inlineStr"/>
    </row>
    <row r="12">
      <c r="A12" s="7" t="inlineStr">
        <is>
          <t>JAN 2026</t>
        </is>
      </c>
      <c r="B12" t="inlineStr">
        <is>
          <t>STABILIZE</t>
        </is>
      </c>
    </row>
    <row r="13">
      <c r="A13" s="19" t="inlineStr"/>
      <c r="B13" t="inlineStr">
        <is>
          <t>• Your BNPL is ~$1,800 this month - that's painful but temporary</t>
        </is>
      </c>
    </row>
    <row r="14">
      <c r="A14" s="19" t="inlineStr"/>
      <c r="B14" t="inlineStr">
        <is>
          <t>• Pay all minimums on time - no more missed payments</t>
        </is>
      </c>
    </row>
    <row r="15">
      <c r="A15" s="19" t="inlineStr"/>
      <c r="B15" t="inlineStr">
        <is>
          <t>• Every dollar from paycheck goes to: Bills → Minimums → Food/Gas → Extra to BMW</t>
        </is>
      </c>
    </row>
    <row r="16">
      <c r="A16" s="19" t="inlineStr"/>
      <c r="B16" t="inlineStr">
        <is>
          <t>• Nelnet deferment ends in Feb - prepare for $226/mo increase</t>
        </is>
      </c>
    </row>
    <row r="17">
      <c r="A17" s="19" t="inlineStr"/>
      <c r="B17" t="inlineStr"/>
    </row>
    <row r="18">
      <c r="A18" s="7" t="inlineStr">
        <is>
          <t>FEB-APR</t>
        </is>
      </c>
      <c r="B18" t="inlineStr">
        <is>
          <t>DEBT AVALANCHE BEGINS</t>
        </is>
      </c>
    </row>
    <row r="19">
      <c r="A19" s="19" t="inlineStr"/>
      <c r="B19" t="inlineStr">
        <is>
          <t>• BNPL will drop significantly as loans close out</t>
        </is>
      </c>
    </row>
    <row r="20">
      <c r="A20" s="19" t="inlineStr"/>
      <c r="B20" t="inlineStr">
        <is>
          <t>• Once BMW is current, attack Best Buy (29.99% APR)</t>
        </is>
      </c>
    </row>
    <row r="21">
      <c r="A21" s="19" t="inlineStr"/>
      <c r="B21" t="inlineStr">
        <is>
          <t>• Target: Pay off Navy Federal $487 balance (quick win)</t>
        </is>
      </c>
    </row>
    <row r="22">
      <c r="A22" s="19" t="inlineStr"/>
      <c r="B22" t="inlineStr"/>
    </row>
    <row r="23">
      <c r="A23" s="7" t="inlineStr">
        <is>
          <t>MAY-AUG</t>
        </is>
      </c>
      <c r="B23" t="inlineStr">
        <is>
          <t>CREDIT CARD DESTRUCTION</t>
        </is>
      </c>
    </row>
    <row r="24">
      <c r="A24" s="19" t="inlineStr"/>
      <c r="B24" t="inlineStr">
        <is>
          <t>• BNPL should be mostly gone by now</t>
        </is>
      </c>
    </row>
    <row r="25">
      <c r="A25" s="19" t="inlineStr"/>
      <c r="B25" t="inlineStr">
        <is>
          <t>• All freed-up cash goes to Best Buy → Bank of America → Amex</t>
        </is>
      </c>
    </row>
    <row r="26">
      <c r="A26" s="19" t="inlineStr"/>
      <c r="B26" t="inlineStr">
        <is>
          <t>• Start building $1,000 emergency fund (20% of surplus)</t>
        </is>
      </c>
    </row>
    <row r="27">
      <c r="A27" s="19" t="inlineStr"/>
      <c r="B27" t="inlineStr"/>
    </row>
    <row r="28">
      <c r="A28" s="7" t="inlineStr">
        <is>
          <t>SEP-DEC</t>
        </is>
      </c>
      <c r="B28" t="inlineStr">
        <is>
          <t>MOMENTUM</t>
        </is>
      </c>
    </row>
    <row r="29">
      <c r="A29" s="19" t="inlineStr"/>
      <c r="B29" t="inlineStr">
        <is>
          <t>• Credit cards should be significantly lower</t>
        </is>
      </c>
    </row>
    <row r="30">
      <c r="A30" s="19" t="inlineStr"/>
      <c r="B30" t="inlineStr">
        <is>
          <t>• Emergency fund at $1,000</t>
        </is>
      </c>
    </row>
    <row r="31">
      <c r="A31" s="19" t="inlineStr"/>
      <c r="B31" t="inlineStr">
        <is>
          <t>• Continue avalanche method</t>
        </is>
      </c>
    </row>
    <row r="32">
      <c r="A32" s="19" t="inlineStr"/>
      <c r="B32" t="inlineStr"/>
    </row>
    <row r="33">
      <c r="A33" s="20" t="inlineStr">
        <is>
          <t>END 2026 GOALS</t>
        </is>
      </c>
      <c r="B33" s="21" t="inlineStr"/>
    </row>
    <row r="34">
      <c r="A34" s="19" t="inlineStr"/>
      <c r="B34" t="inlineStr">
        <is>
          <t>✓ Emergency fund: $1,000</t>
        </is>
      </c>
    </row>
    <row r="35">
      <c r="A35" s="19" t="inlineStr"/>
      <c r="B35" t="inlineStr">
        <is>
          <t>✓ All accounts CURRENT (no past due)</t>
        </is>
      </c>
    </row>
    <row r="36">
      <c r="A36" s="19" t="inlineStr"/>
      <c r="B36" t="inlineStr">
        <is>
          <t>✓ BNPL: GONE</t>
        </is>
      </c>
    </row>
    <row r="37">
      <c r="A37" s="19" t="inlineStr"/>
      <c r="B37" t="inlineStr">
        <is>
          <t>✓ Credit cards: Reduced by 50%+ (~$8,000 remaining)</t>
        </is>
      </c>
    </row>
    <row r="38">
      <c r="A38" s="19" t="inlineStr"/>
      <c r="B38" t="inlineStr">
        <is>
          <t>✓ Total debt: Under $65,000</t>
        </is>
      </c>
    </row>
    <row r="39">
      <c r="A39" s="19" t="inlineStr"/>
      <c r="B39" t="inlineStr"/>
    </row>
    <row r="40">
      <c r="A40" s="18" t="inlineStr">
        <is>
          <t>RULES</t>
        </is>
      </c>
      <c r="B40" s="6" t="inlineStr">
        <is>
          <t>NON-NEGOTIABLE</t>
        </is>
      </c>
    </row>
    <row r="41">
      <c r="A41" s="19" t="inlineStr"/>
      <c r="B41" t="inlineStr">
        <is>
          <t>1. NO NEW DEBT - Cut up the credit cards if you have to</t>
        </is>
      </c>
    </row>
    <row r="42">
      <c r="A42" s="19" t="inlineStr"/>
      <c r="B42" t="inlineStr">
        <is>
          <t>2. Every dollar has a job BEFORE you spend it</t>
        </is>
      </c>
    </row>
    <row r="43">
      <c r="A43" s="19" t="inlineStr"/>
      <c r="B43" t="inlineStr">
        <is>
          <t>3. Check OpenFi every payday - know what's due</t>
        </is>
      </c>
    </row>
    <row r="44">
      <c r="A44" s="19" t="inlineStr"/>
      <c r="B44" t="inlineStr">
        <is>
          <t>4. $0 impulse purchases - if it's not budgeted, it doesn't happen</t>
        </is>
      </c>
    </row>
    <row r="45">
      <c r="A45" s="19" t="inlineStr"/>
      <c r="B45" t="inlineStr">
        <is>
          <t>5. If you get a windfall (tax refund, bonus), 100% to debt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2025-12-27T14:32:29Z</dcterms:created>
  <dcterms:modified xmlns:dcterms="http://purl.org/dc/terms/" xmlns:xsi="http://www.w3.org/2001/XMLSchema-instance" xsi:type="dcterms:W3CDTF">2025-12-27T14:32:29Z</dcterms:modified>
</cp:coreProperties>
</file>